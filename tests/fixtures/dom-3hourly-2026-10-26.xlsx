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9E452B0F-929E-4196-8708-DE16288F280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Sheet1!$A$10:$O$10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<sst xmlns="http://schemas.openxmlformats.org/spreadsheetml/2006/main" count="623" uniqueCount="96">
  <si>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</si>
  <si>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</si>
  <si>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</si>
  <si>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</si>
  <si>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</si>
  <si>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</si>
  <si>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</si>
  <si>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</si>
  <si>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</si>
  <si>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</si>
  <si>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</si>
  <si>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</si>
  <si>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</si>
  <si>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</si>
  <si>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</si>
  <si>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</si>
  <si>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</si>
  <si>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</si>
  <si>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</si>
  <si>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</si>
  <si>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</si>
  <si>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</si>
  <si>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</si>
  <si>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</si>
  <si>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</si>
  <si>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</si>
  <si>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</si>
  <si>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</si>
  <si>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</si>
  <si>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</si>
  <si>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</si>
  <si>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</si>
  <si>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</si>
  <si>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</si>
  <si>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</si>
  <si>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</si>
  <si>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</si>
  <si>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</si>
  <si>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</si>
  <si>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</si>
  <si>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</si>
  <si>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</si>
  <si>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</si>
  <si>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</si>
  <si>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</si>
  <si>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</si>
  <si>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</si>
  <si>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</si>
  <si>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</si>
  <si>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</si>
  <si>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</si>
  <si>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</si>
  <si>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</si>
  <si>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</si>
  <si>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</si>
  <si>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</si>
  <si>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</si>
  <si>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</si>
  <si>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</si>
  <si>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</si>
  <si>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</si>
  <si>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</si>
  <si>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</si>
  <si>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</si>
  <si>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</si>
  <si>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</si>
  <si>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</si>
  <si>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</si>
  <si>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</si>
  <si>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</si>
  <si>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</si>
  <si>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</si>
  <si>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</si>
  <si>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</si>
  <si>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</si>
  <si>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</si>
  <si>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</si>
  <si>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</si>
  <si>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</si>
  <si>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</si>
  <si>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</si>
  <si>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14.0</t>
  </si>
  <si>
    <t>10.0</t>
  </si>
  <si>
    <t>25.0</t>
  </si>
  <si>
    <t>24.0</t>
  </si>
  <si>
    <t>2026-10-26 1430</t>
  </si>
  <si>
    <t>2.0</t>
  </si>
  <si>
    <t>40.0</t>
  </si>
  <si>
    <t>26.0</t>
  </si>
  <si>
    <t>29.0</t>
  </si>
  <si>
    <t>16.0</t>
  </si>
  <si>
    <t>4.0</t>
  </si>
  <si>
    <t>1007.0</t>
  </si>
  <si>
    <t>1008.0</t>
  </si>
  <si>
    <t>15.0</t>
  </si>
  <si>
    <t>25.4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</si>
</sst>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selection activeCell="M24" sqref="M2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85</v>
      </c>
      <c r="D2" s="35">
        <v>1.5</v>
      </c>
      <c r="E2" s="35">
        <v>15.8</v>
      </c>
      <c r="F2" s="35">
        <v>24.5</v>
      </c>
      <c r="G2" s="35">
        <v>95</v>
      </c>
      <c r="H2" s="35" t="s">
        <v>44</v>
      </c>
      <c r="I2" s="35" t="s">
        <v>74</v>
      </c>
      <c r="J2" s="35">
        <v>12.24</v>
      </c>
      <c r="K2" s="35">
        <v>8</v>
      </c>
      <c r="L2" s="35">
        <v>1007.8</v>
      </c>
      <c r="M2" s="35">
        <v>23.9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85</v>
      </c>
      <c r="D3" s="35">
        <v>15.5</v>
      </c>
      <c r="E3" s="35">
        <v>15.5</v>
      </c>
      <c r="F3" s="35">
        <v>24.5</v>
      </c>
      <c r="G3" s="35">
        <v>95</v>
      </c>
      <c r="H3" s="35" t="s">
        <v>45</v>
      </c>
      <c r="I3" s="35" t="s">
        <v>61</v>
      </c>
      <c r="J3" s="35" t="s">
        <v>90</v>
      </c>
      <c r="K3" s="35">
        <v>8</v>
      </c>
      <c r="L3" s="35" t="s">
        <v>92</v>
      </c>
      <c r="M3" s="35">
        <v>23.6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85</v>
      </c>
      <c r="D4" s="35">
        <v>0.2</v>
      </c>
      <c r="E4" s="35">
        <v>40.1</v>
      </c>
      <c r="F4" s="35">
        <v>26.4</v>
      </c>
      <c r="G4" s="35">
        <v>88</v>
      </c>
      <c r="H4" s="35" t="s">
        <v>45</v>
      </c>
      <c r="I4" s="35" t="s">
        <v>73</v>
      </c>
      <c r="J4" s="35">
        <v>13.32</v>
      </c>
      <c r="K4" s="35">
        <v>8</v>
      </c>
      <c r="L4" s="35">
        <v>1007.9</v>
      </c>
      <c r="M4" s="35">
        <v>24.5</v>
      </c>
      <c r="N4" s="35"/>
    </row>
    <row r="5" spans="1:15" ht="15" x14ac:dyDescent="0.25">
      <c r="A5" s="1">
        <v>43415</v>
      </c>
      <c r="B5" s="1" t="s">
        <v>10</v>
      </c>
      <c r="C5" s="25" t="s">
        <v>85</v>
      </c>
      <c r="D5" s="35">
        <v>3.8</v>
      </c>
      <c r="E5" s="35">
        <v>17.899999999999999</v>
      </c>
      <c r="F5" s="35" t="s">
        <v>88</v>
      </c>
      <c r="G5" s="35">
        <v>95</v>
      </c>
      <c r="H5" s="35" t="s">
        <v>45</v>
      </c>
      <c r="I5" s="35" t="s">
        <v>66</v>
      </c>
      <c r="J5" s="35" t="s">
        <v>80</v>
      </c>
      <c r="K5" s="35">
        <v>8</v>
      </c>
      <c r="L5" s="35">
        <v>1008.6</v>
      </c>
      <c r="M5" s="35">
        <v>25.1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85</v>
      </c>
      <c r="D6" s="35">
        <v>0.5</v>
      </c>
      <c r="E6" s="35">
        <v>1.6</v>
      </c>
      <c r="F6" s="35">
        <v>27.6</v>
      </c>
      <c r="G6" s="35">
        <v>81</v>
      </c>
      <c r="H6" s="35" t="s">
        <v>35</v>
      </c>
      <c r="I6" s="35" t="s">
        <v>55</v>
      </c>
      <c r="J6" s="35">
        <v>9.8000000000000007</v>
      </c>
      <c r="K6" s="35">
        <v>8</v>
      </c>
      <c r="L6" s="35">
        <v>1008.1</v>
      </c>
      <c r="M6" s="35">
        <v>24.1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85</v>
      </c>
      <c r="D7" s="35">
        <v>24.4</v>
      </c>
      <c r="E7" s="35">
        <v>24.5</v>
      </c>
      <c r="F7" s="35">
        <v>26.5</v>
      </c>
      <c r="G7" s="35">
        <v>94</v>
      </c>
      <c r="H7" s="35" t="s">
        <v>45</v>
      </c>
      <c r="I7" s="35" t="s">
        <v>61</v>
      </c>
      <c r="J7" s="35">
        <v>3.96</v>
      </c>
      <c r="K7" s="35">
        <v>8</v>
      </c>
      <c r="L7" s="35">
        <v>1007.8</v>
      </c>
      <c r="M7" s="35" t="s">
        <v>83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85</v>
      </c>
      <c r="D8" s="35">
        <v>2.9</v>
      </c>
      <c r="E8" s="35">
        <v>4.7</v>
      </c>
      <c r="F8" s="35">
        <v>24.9</v>
      </c>
      <c r="G8" s="35">
        <v>98</v>
      </c>
      <c r="H8" s="35" t="s">
        <v>45</v>
      </c>
      <c r="I8" s="35" t="s">
        <v>66</v>
      </c>
      <c r="J8" s="35" t="s">
        <v>80</v>
      </c>
      <c r="K8" s="35">
        <v>8</v>
      </c>
      <c r="L8" s="35">
        <v>1008.1</v>
      </c>
      <c r="M8" s="35">
        <v>24.6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85</v>
      </c>
      <c r="D9" s="35">
        <v>0.3</v>
      </c>
      <c r="E9" s="35">
        <v>1.1000000000000001</v>
      </c>
      <c r="F9" s="35">
        <v>28.6</v>
      </c>
      <c r="G9" s="35">
        <v>83</v>
      </c>
      <c r="H9" s="35" t="s">
        <v>35</v>
      </c>
      <c r="I9" s="35" t="s">
        <v>58</v>
      </c>
      <c r="J9" s="35" t="s">
        <v>91</v>
      </c>
      <c r="K9" s="35">
        <v>8</v>
      </c>
      <c r="L9" s="35">
        <v>1007.8</v>
      </c>
      <c r="M9" s="35">
        <v>25.3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85</v>
      </c>
      <c r="D10" s="35">
        <v>0.8</v>
      </c>
      <c r="E10" s="35">
        <v>0.8</v>
      </c>
      <c r="F10" s="35">
        <v>29.9</v>
      </c>
      <c r="G10" s="35">
        <v>77</v>
      </c>
      <c r="H10" s="35" t="s">
        <v>35</v>
      </c>
      <c r="I10" s="35" t="s">
        <v>66</v>
      </c>
      <c r="J10" s="35" t="s">
        <v>80</v>
      </c>
      <c r="K10" s="35">
        <v>7</v>
      </c>
      <c r="L10" s="35">
        <v>1006.6</v>
      </c>
      <c r="M10" s="35">
        <v>25.5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85</v>
      </c>
      <c r="D11" s="35">
        <v>0.3</v>
      </c>
      <c r="E11" s="35">
        <v>6.5</v>
      </c>
      <c r="F11" s="35">
        <v>26.7</v>
      </c>
      <c r="G11" s="35">
        <v>89</v>
      </c>
      <c r="H11" s="35" t="s">
        <v>35</v>
      </c>
      <c r="I11" s="35" t="s">
        <v>55</v>
      </c>
      <c r="J11" s="35">
        <v>6.5</v>
      </c>
      <c r="K11" s="35">
        <v>8</v>
      </c>
      <c r="L11" s="35">
        <v>1008.7</v>
      </c>
      <c r="M11" s="35">
        <v>24.7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85</v>
      </c>
      <c r="D12" s="35" t="s">
        <v>86</v>
      </c>
      <c r="E12" s="35">
        <v>14.3</v>
      </c>
      <c r="F12" s="35">
        <v>25.6</v>
      </c>
      <c r="G12" s="35">
        <v>83</v>
      </c>
      <c r="H12" s="35" t="s">
        <v>35</v>
      </c>
      <c r="I12" s="35" t="s">
        <v>66</v>
      </c>
      <c r="J12" s="35" t="s">
        <v>80</v>
      </c>
      <c r="K12" s="35">
        <v>8</v>
      </c>
      <c r="L12" s="35">
        <v>1007.7</v>
      </c>
      <c r="M12" s="35">
        <v>22.4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85</v>
      </c>
      <c r="D13" s="35">
        <v>0.1</v>
      </c>
      <c r="E13" s="35">
        <v>18.5</v>
      </c>
      <c r="F13" s="35">
        <v>29.4</v>
      </c>
      <c r="G13" s="35">
        <v>79</v>
      </c>
      <c r="H13" s="35" t="s">
        <v>35</v>
      </c>
      <c r="I13" s="35" t="s">
        <v>61</v>
      </c>
      <c r="J13" s="35">
        <v>14.04</v>
      </c>
      <c r="K13" s="35">
        <v>8</v>
      </c>
      <c r="L13" s="35" t="s">
        <v>93</v>
      </c>
      <c r="M13" s="35">
        <v>25.3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85</v>
      </c>
      <c r="D14" s="35">
        <v>1.6</v>
      </c>
      <c r="E14" s="35">
        <v>10.1</v>
      </c>
      <c r="F14" s="35">
        <v>28.3</v>
      </c>
      <c r="G14" s="35">
        <v>87</v>
      </c>
      <c r="H14" s="35" t="s">
        <v>35</v>
      </c>
      <c r="I14" s="35" t="s">
        <v>58</v>
      </c>
      <c r="J14" s="35">
        <v>5.04</v>
      </c>
      <c r="K14" s="35">
        <v>8</v>
      </c>
      <c r="L14" s="35">
        <v>1008.6</v>
      </c>
      <c r="M14" s="35">
        <v>25.9</v>
      </c>
      <c r="N14" s="35"/>
      <c r="O14" s="24"/>
    </row>
    <row r="15" spans="1:15" ht="16.5" customHeight="1" x14ac:dyDescent="0.25">
      <c r="A15" s="1">
        <v>43467</v>
      </c>
      <c r="B15" s="2" t="s">
        <v>19</v>
      </c>
      <c r="C15" s="25" t="s">
        <v>85</v>
      </c>
      <c r="D15" s="35">
        <v>6.6</v>
      </c>
      <c r="E15" s="35">
        <v>17.3</v>
      </c>
      <c r="F15" s="35">
        <v>26.9</v>
      </c>
      <c r="G15" s="35">
        <v>93</v>
      </c>
      <c r="H15" s="35" t="s">
        <v>35</v>
      </c>
      <c r="I15" s="35" t="s">
        <v>71</v>
      </c>
      <c r="J15" s="35">
        <v>1.2</v>
      </c>
      <c r="K15" s="35">
        <v>7</v>
      </c>
      <c r="L15" s="35">
        <v>1008.6</v>
      </c>
      <c r="M15" s="35">
        <v>25.8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85</v>
      </c>
      <c r="D16" s="35">
        <v>4.3</v>
      </c>
      <c r="E16" s="35" t="s">
        <v>87</v>
      </c>
      <c r="F16" s="35">
        <v>15.7</v>
      </c>
      <c r="G16" s="35">
        <v>96</v>
      </c>
      <c r="H16" s="35" t="s">
        <v>44</v>
      </c>
      <c r="I16" s="35" t="s">
        <v>58</v>
      </c>
      <c r="J16" s="35">
        <v>20.16</v>
      </c>
      <c r="K16" s="35">
        <v>8</v>
      </c>
      <c r="L16" s="35" t="s">
        <v>78</v>
      </c>
      <c r="M16" s="35" t="s">
        <v>94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85</v>
      </c>
      <c r="D17" s="35">
        <v>3.8</v>
      </c>
      <c r="E17" s="35">
        <v>11.6</v>
      </c>
      <c r="F17" s="35">
        <v>21.6</v>
      </c>
      <c r="G17" s="35">
        <v>83</v>
      </c>
      <c r="H17" s="35" t="s">
        <v>35</v>
      </c>
      <c r="I17" s="35" t="s">
        <v>58</v>
      </c>
      <c r="J17" s="35">
        <v>7.5</v>
      </c>
      <c r="K17" s="35">
        <v>8</v>
      </c>
      <c r="L17" s="35" t="s">
        <v>78</v>
      </c>
      <c r="M17" s="35">
        <v>18.5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85</v>
      </c>
      <c r="D18" s="35">
        <v>2.9</v>
      </c>
      <c r="E18" s="35">
        <v>18.8</v>
      </c>
      <c r="F18" s="35">
        <v>22.7</v>
      </c>
      <c r="G18" s="35">
        <v>94</v>
      </c>
      <c r="H18" s="35" t="s">
        <v>45</v>
      </c>
      <c r="I18" s="35" t="s">
        <v>66</v>
      </c>
      <c r="J18" s="35" t="s">
        <v>80</v>
      </c>
      <c r="K18" s="35">
        <v>8</v>
      </c>
      <c r="L18" s="35" t="s">
        <v>78</v>
      </c>
      <c r="M18" s="35">
        <v>21.7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85</v>
      </c>
      <c r="D19" s="35">
        <v>4.8</v>
      </c>
      <c r="E19" s="35">
        <v>35.700000000000003</v>
      </c>
      <c r="F19" s="35">
        <v>24.6</v>
      </c>
      <c r="G19" s="35">
        <v>89</v>
      </c>
      <c r="H19" s="35" t="s">
        <v>44</v>
      </c>
      <c r="I19" s="35" t="s">
        <v>73</v>
      </c>
      <c r="J19" s="35">
        <v>2.16</v>
      </c>
      <c r="K19" s="35">
        <v>8</v>
      </c>
      <c r="L19" s="35">
        <v>1008.2</v>
      </c>
      <c r="M19" s="35" t="s">
        <v>84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85</v>
      </c>
      <c r="D20" s="35">
        <v>2.1</v>
      </c>
      <c r="E20" s="35">
        <v>18.399999999999999</v>
      </c>
      <c r="F20" s="35">
        <v>27.4</v>
      </c>
      <c r="G20" s="35">
        <v>89</v>
      </c>
      <c r="H20" s="35" t="s">
        <v>35</v>
      </c>
      <c r="I20" s="35" t="s">
        <v>55</v>
      </c>
      <c r="J20" s="35">
        <v>20.5</v>
      </c>
      <c r="K20" s="35">
        <v>8</v>
      </c>
      <c r="L20" s="35">
        <v>1008.3</v>
      </c>
      <c r="M20" s="35" t="s">
        <v>95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85</v>
      </c>
      <c r="D21" s="35">
        <v>10.3</v>
      </c>
      <c r="E21" s="35">
        <v>20.3</v>
      </c>
      <c r="F21" s="35">
        <v>25.5</v>
      </c>
      <c r="G21" s="35">
        <v>96</v>
      </c>
      <c r="H21" s="35" t="s">
        <v>45</v>
      </c>
      <c r="I21" s="35" t="s">
        <v>55</v>
      </c>
      <c r="J21" s="35">
        <v>14.04</v>
      </c>
      <c r="K21" s="35">
        <v>8</v>
      </c>
      <c r="L21" s="35">
        <v>1008.1</v>
      </c>
      <c r="M21" s="35">
        <v>24.9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85</v>
      </c>
      <c r="D22" s="35">
        <v>0.1</v>
      </c>
      <c r="E22" s="35">
        <v>0.1</v>
      </c>
      <c r="F22" s="35" t="s">
        <v>89</v>
      </c>
      <c r="G22" s="35">
        <v>79</v>
      </c>
      <c r="H22" s="35" t="s">
        <v>35</v>
      </c>
      <c r="I22" s="35" t="s">
        <v>61</v>
      </c>
      <c r="J22" s="35">
        <v>8.64</v>
      </c>
      <c r="K22" s="35">
        <v>8</v>
      </c>
      <c r="L22" s="35">
        <v>1007.3</v>
      </c>
      <c r="M22" s="35">
        <v>23.6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85</v>
      </c>
      <c r="D23" s="35">
        <v>9.4</v>
      </c>
      <c r="E23" s="35">
        <v>28.1</v>
      </c>
      <c r="F23" s="35">
        <v>24.6</v>
      </c>
      <c r="G23" s="35">
        <v>96</v>
      </c>
      <c r="H23" s="35" t="s">
        <v>35</v>
      </c>
      <c r="I23" s="35" t="s">
        <v>56</v>
      </c>
      <c r="J23" s="35" t="s">
        <v>81</v>
      </c>
      <c r="K23" s="35">
        <v>8</v>
      </c>
      <c r="L23" s="35">
        <v>1008.7</v>
      </c>
      <c r="M23" s="35" t="s">
        <v>84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85</v>
      </c>
      <c r="D24" s="35">
        <v>0.8</v>
      </c>
      <c r="E24" s="35" t="s">
        <v>82</v>
      </c>
      <c r="F24" s="35" t="s">
        <v>88</v>
      </c>
      <c r="G24" s="35">
        <v>87</v>
      </c>
      <c r="H24" s="35" t="s">
        <v>45</v>
      </c>
      <c r="I24" s="35" t="s">
        <v>55</v>
      </c>
      <c r="J24" s="35" t="s">
        <v>86</v>
      </c>
      <c r="K24" s="35">
        <v>8</v>
      </c>
      <c r="L24" s="35">
        <v>1008.3</v>
      </c>
      <c r="M24" s="35">
        <v>23.7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85</v>
      </c>
      <c r="D25" s="35">
        <v>0.5</v>
      </c>
      <c r="E25" s="35">
        <v>2.7</v>
      </c>
      <c r="F25" s="35">
        <v>27.1</v>
      </c>
      <c r="G25" s="35">
        <v>87</v>
      </c>
      <c r="H25" s="35" t="s">
        <v>35</v>
      </c>
      <c r="I25" s="35" t="s">
        <v>61</v>
      </c>
      <c r="J25" s="35">
        <v>7.2</v>
      </c>
      <c r="K25" s="35">
        <v>8</v>
      </c>
      <c r="L25" s="35">
        <v>1007.2</v>
      </c>
      <c r="M25" s="35">
        <v>24.8</v>
      </c>
      <c r="N25" s="35"/>
      <c r="O25" s="24"/>
    </row>
    <row r="26" spans="1:15" ht="15.75" customHeight="1" x14ac:dyDescent="0.25">
      <c r="D26" s="35"/>
      <c r="E26" s="35"/>
      <c r="F26" s="35"/>
      <c r="G26" s="35"/>
      <c r="H26" s="35"/>
      <c r="I26" s="35"/>
      <c r="J26" s="35"/>
      <c r="K26" s="35"/>
      <c r="L26" s="35"/>
      <c r="M26" s="35"/>
    </row>
    <row r="27" spans="1:15" ht="15.75" customHeight="1" x14ac:dyDescent="0.25">
      <c r="D27" s="35"/>
      <c r="E27" s="35"/>
      <c r="F27" s="35"/>
      <c r="G27" s="35"/>
      <c r="H27" s="35"/>
      <c r="I27" s="35"/>
      <c r="J27" s="35"/>
      <c r="K27" s="35"/>
      <c r="L27" s="35"/>
      <c r="M27" s="35"/>
    </row>
    <row r="28" spans="1:15" ht="15.75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5" ht="15.75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5" ht="15.75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5" ht="15.75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5" ht="15.75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4:13" ht="15.75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4:13" ht="15.75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4:13" ht="15.75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4:13" ht="15.75" customHeight="1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sortState xmlns:xlrd2="http://schemas.microsoft.com/office/spreadsheetml/2017/richdata2" ref="A2:O36">
    <sortCondition ref="A2:A36"/>
  </sortState>
  <phoneticPr fontId="2" type="noConversion"/>
  <dataValidations count="1">
    <dataValidation type="list" allowBlank="1" showInputMessage="1" showErrorMessage="1" sqref="H1:H3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I1:I6 I8:I36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344</v>
      </c>
      <c r="D2">
        <v>1</v>
      </c>
      <c r="E2" s="3" t="str">
        <f>VLOOKUP(D2,$G$1:$H$19,2,FALSE)</f>
        <v>rain</v>
      </c>
      <c r="F2" s="3" t="str">
        <f>Sheet4!L1</f>
        <v>NNW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270</v>
      </c>
      <c r="D3">
        <v>11</v>
      </c>
      <c r="E3" s="3" t="str">
        <f t="shared" ref="E3:E25" si="1">VLOOKUP(D3,$G$1:$H$19,2,FALSE)</f>
        <v>showers</v>
      </c>
      <c r="F3" s="3" t="str">
        <f>Sheet4!L2</f>
        <v>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355</v>
      </c>
      <c r="D4">
        <v>11</v>
      </c>
      <c r="E4" s="3" t="str">
        <f t="shared" si="1"/>
        <v>showers</v>
      </c>
      <c r="F4" s="3" t="str">
        <f>Sheet4!L3</f>
        <v>N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11</v>
      </c>
      <c r="E5" s="3" t="str">
        <f t="shared" si="1"/>
        <v>showers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11</v>
      </c>
      <c r="E6" s="3" t="str">
        <f t="shared" si="1"/>
        <v>showers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279</v>
      </c>
      <c r="D7">
        <v>4</v>
      </c>
      <c r="E7" s="3" t="str">
        <f t="shared" si="1"/>
        <v>drizzling</v>
      </c>
      <c r="F7" s="3" t="str">
        <f>Sheet4!L6</f>
        <v>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11</v>
      </c>
      <c r="E8" s="3" t="str">
        <f t="shared" si="1"/>
        <v>showers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300</v>
      </c>
      <c r="D9">
        <v>11</v>
      </c>
      <c r="E9" s="3" t="str">
        <f t="shared" si="1"/>
        <v>showers</v>
      </c>
      <c r="F9" s="3" t="str">
        <f>Sheet4!L8</f>
        <v>WNW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6</v>
      </c>
      <c r="E10" s="3" t="str">
        <f t="shared" si="1"/>
        <v>partlycloudy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225</v>
      </c>
      <c r="D11">
        <v>1</v>
      </c>
      <c r="E11" s="3" t="str">
        <f t="shared" si="1"/>
        <v>rain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11</v>
      </c>
      <c r="E12" s="3" t="str">
        <f t="shared" si="1"/>
        <v>showers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270</v>
      </c>
      <c r="D13">
        <v>4</v>
      </c>
      <c r="E13" s="3" t="str">
        <f t="shared" si="1"/>
        <v>drizzling</v>
      </c>
      <c r="F13" s="3" t="str">
        <f>Sheet4!L12</f>
        <v>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303</v>
      </c>
      <c r="D14">
        <v>11</v>
      </c>
      <c r="E14" s="3" t="str">
        <f t="shared" si="1"/>
        <v>showers</v>
      </c>
      <c r="F14" s="3" t="str">
        <f>Sheet4!L13</f>
        <v>WNW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140</v>
      </c>
      <c r="D15">
        <v>11</v>
      </c>
      <c r="E15" s="3" t="str">
        <f t="shared" si="1"/>
        <v>showers</v>
      </c>
      <c r="F15" s="3" t="str">
        <f>Sheet4!L14</f>
        <v>SE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292</v>
      </c>
      <c r="D16">
        <v>11</v>
      </c>
      <c r="E16" s="3" t="str">
        <f t="shared" si="1"/>
        <v>showers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290</v>
      </c>
      <c r="D17">
        <v>11</v>
      </c>
      <c r="E17" s="3" t="str">
        <f t="shared" si="1"/>
        <v>showers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11</v>
      </c>
      <c r="E18" s="3" t="str">
        <f t="shared" si="1"/>
        <v>showers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356</v>
      </c>
      <c r="D19">
        <v>11</v>
      </c>
      <c r="E19" s="3" t="str">
        <f t="shared" si="1"/>
        <v>showers</v>
      </c>
      <c r="F19" s="3" t="str">
        <f>Sheet4!L18</f>
        <v>N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1</v>
      </c>
      <c r="E20" s="3" t="str">
        <f t="shared" si="1"/>
        <v>rain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228</v>
      </c>
      <c r="D21">
        <v>12</v>
      </c>
      <c r="E21" s="3" t="str">
        <f t="shared" si="1"/>
        <v>thundershowers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260</v>
      </c>
      <c r="D22">
        <v>6</v>
      </c>
      <c r="E22" s="3" t="str">
        <f t="shared" si="1"/>
        <v>partlycloudy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210</v>
      </c>
      <c r="D23">
        <v>12</v>
      </c>
      <c r="E23" s="3" t="str">
        <f t="shared" si="1"/>
        <v>thundershowers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230</v>
      </c>
      <c r="D24">
        <v>11</v>
      </c>
      <c r="E24" s="3" t="str">
        <f t="shared" si="1"/>
        <v>showers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11</v>
      </c>
      <c r="E25" s="3" t="str">
        <f t="shared" si="1"/>
        <v>showers</v>
      </c>
      <c r="F25" s="3" t="str">
        <f>Sheet4!L24</f>
        <v>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344</v>
      </c>
      <c r="L1" t="str">
        <f>VLOOKUP(K1,A$2:B$363,2,FALSE)</f>
        <v>NNW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355</v>
      </c>
      <c r="L3" t="str">
        <f t="shared" si="0"/>
        <v>N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279</v>
      </c>
      <c r="L6" t="str">
        <f t="shared" si="0"/>
        <v>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300</v>
      </c>
      <c r="L8" t="str">
        <f t="shared" si="0"/>
        <v>WNW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225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270</v>
      </c>
      <c r="L12" t="str">
        <f t="shared" si="0"/>
        <v>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303</v>
      </c>
      <c r="L13" t="str">
        <f t="shared" si="0"/>
        <v>WNW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140</v>
      </c>
      <c r="L14" t="str">
        <f t="shared" si="0"/>
        <v>SE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292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356</v>
      </c>
      <c r="L18" t="str">
        <f t="shared" si="0"/>
        <v>N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228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260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2026-10-26T09:45:31Z</dcterms:modified>
</cp:coreProperties>
</file>